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Kun/Documents/info264 wo/fianl project/final data/"/>
    </mc:Choice>
  </mc:AlternateContent>
  <bookViews>
    <workbookView xWindow="-1440" yWindow="1140" windowWidth="15920" windowHeight="92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J3" i="1"/>
  <c r="J4" i="1"/>
  <c r="J5" i="1"/>
  <c r="J6" i="1"/>
  <c r="J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<sst xmlns="http://schemas.openxmlformats.org/spreadsheetml/2006/main" count="11" uniqueCount="11">
  <si>
    <t>Years</t>
  </si>
  <si>
    <t>Domestic Company-owned stores</t>
  </si>
  <si>
    <t>Domestic franchise</t>
  </si>
  <si>
    <t>Domestic stores</t>
  </si>
  <si>
    <t>Domestic Company-owned stores($m)</t>
  </si>
  <si>
    <t>Domestic franchise($m)</t>
  </si>
  <si>
    <t>International franchise($m)</t>
  </si>
  <si>
    <t>Total revenues($m)</t>
  </si>
  <si>
    <t>International stores</t>
  </si>
  <si>
    <t>Supply chain($m)</t>
  </si>
  <si>
    <t>Domestic store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</si>
</sst>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topLeftCell="E1" workbookViewId="0">
      <selection activeCell="K2" sqref="K2:K6"/>
    </sheetView>
  </sheetViews>
  <sheetFormatPr baseColWidth="10" defaultRowHeight="16" x14ac:dyDescent="0.2"/>
  <cols>
    <col min="2" max="2" width="29.6640625" customWidth="1"/>
    <col min="3" max="3" width="18.1640625" customWidth="1"/>
    <col min="4" max="4" width="15.83203125" customWidth="1"/>
    <col min="5" max="5" width="21.33203125" customWidth="1"/>
    <col min="6" max="6" width="13.6640625" customWidth="1"/>
  </cols>
  <sheetData>
    <row r="1" spans="1:11" x14ac:dyDescent="0.2">
      <c r="A1" t="s">
        <v>0</v>
      </c>
      <c r="B1" t="s">
        <v>4</v>
      </c>
      <c r="C1" t="s">
        <v>5</v>
      </c>
      <c r="D1" t="s">
        <v>9</v>
      </c>
      <c r="E1" t="s">
        <v>6</v>
      </c>
      <c r="F1" t="s">
        <v>7</v>
      </c>
      <c r="G1" t="s">
        <v>1</v>
      </c>
      <c r="H1" t="s">
        <v>2</v>
      </c>
      <c r="I1" t="s">
        <v>8</v>
      </c>
      <c r="J1" t="s">
        <v>3</v>
      </c>
      <c r="K1" t="s">
        <v>10</v>
      </c>
    </row>
    <row r="2" spans="1:11" x14ac:dyDescent="0.2">
      <c r="A2">
        <v>2012</v>
      </c>
      <c r="B2">
        <v>592.20000000000005</v>
      </c>
      <c r="C2">
        <v>80.400000000000006</v>
      </c>
      <c r="D2">
        <v>597.1</v>
      </c>
      <c r="E2">
        <v>72.900000000000006</v>
      </c>
      <c r="F2">
        <f>B2+C2+D2+E2</f>
        <v>1342.6000000000001</v>
      </c>
      <c r="G2">
        <v>580</v>
      </c>
      <c r="H2">
        <v>2578</v>
      </c>
      <c r="I2">
        <v>1024</v>
      </c>
      <c r="J2">
        <f>G2+H2</f>
        <v>3158</v>
      </c>
      <c r="K2">
        <f>B2+C2</f>
        <v>672.6</v>
      </c>
    </row>
    <row r="3" spans="1:11" x14ac:dyDescent="0.2">
      <c r="A3">
        <v>2013</v>
      </c>
      <c r="B3">
        <v>635.29999999999995</v>
      </c>
      <c r="C3">
        <v>82.9</v>
      </c>
      <c r="D3">
        <v>632.20000000000005</v>
      </c>
      <c r="E3">
        <v>88.6</v>
      </c>
      <c r="F3">
        <f t="shared" ref="F3:F6" si="0">B3+C3+D3+E3</f>
        <v>1439</v>
      </c>
      <c r="G3">
        <v>646</v>
      </c>
      <c r="H3">
        <v>2616</v>
      </c>
      <c r="I3">
        <v>1203</v>
      </c>
      <c r="J3">
        <f t="shared" ref="J3:J6" si="1">G3+H3</f>
        <v>3262</v>
      </c>
      <c r="K3">
        <f t="shared" ref="K3:K6" si="2">B3+C3</f>
        <v>718.19999999999993</v>
      </c>
    </row>
    <row r="4" spans="1:11" x14ac:dyDescent="0.2">
      <c r="A4">
        <v>2014</v>
      </c>
      <c r="B4">
        <v>701.9</v>
      </c>
      <c r="C4">
        <v>90.2</v>
      </c>
      <c r="D4">
        <v>703.7</v>
      </c>
      <c r="E4">
        <v>102.5</v>
      </c>
      <c r="F4">
        <f t="shared" si="0"/>
        <v>1598.3000000000002</v>
      </c>
      <c r="G4">
        <v>686</v>
      </c>
      <c r="H4">
        <v>2654</v>
      </c>
      <c r="I4">
        <v>1323</v>
      </c>
      <c r="J4">
        <f t="shared" si="1"/>
        <v>3340</v>
      </c>
      <c r="K4">
        <f t="shared" si="2"/>
        <v>792.1</v>
      </c>
    </row>
    <row r="5" spans="1:11" x14ac:dyDescent="0.2">
      <c r="A5">
        <v>2015</v>
      </c>
      <c r="B5">
        <v>756.3</v>
      </c>
      <c r="C5">
        <v>96.2</v>
      </c>
      <c r="D5">
        <v>680.3</v>
      </c>
      <c r="E5">
        <v>104.7</v>
      </c>
      <c r="F5">
        <f t="shared" si="0"/>
        <v>1637.5</v>
      </c>
      <c r="G5">
        <v>707</v>
      </c>
      <c r="H5">
        <v>2681</v>
      </c>
      <c r="I5">
        <v>1505</v>
      </c>
      <c r="J5">
        <f t="shared" si="1"/>
        <v>3388</v>
      </c>
      <c r="K5">
        <f t="shared" si="2"/>
        <v>852.5</v>
      </c>
    </row>
    <row r="6" spans="1:11" x14ac:dyDescent="0.2">
      <c r="A6">
        <v>2016</v>
      </c>
      <c r="B6">
        <v>815.9</v>
      </c>
      <c r="C6">
        <v>103</v>
      </c>
      <c r="D6">
        <v>681.6</v>
      </c>
      <c r="E6">
        <v>113.1</v>
      </c>
      <c r="F6">
        <f t="shared" si="0"/>
        <v>1713.6</v>
      </c>
      <c r="G6">
        <v>702</v>
      </c>
      <c r="H6">
        <v>2739</v>
      </c>
      <c r="I6">
        <v>1656</v>
      </c>
      <c r="J6">
        <f t="shared" si="1"/>
        <v>3441</v>
      </c>
      <c r="K6">
        <f t="shared" si="2"/>
        <v>918.9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2017-10-30T09:30:28Z</dcterms:created>
  <dcterms:modified xsi:type="dcterms:W3CDTF">2017-10-30T11:32:02Z</dcterms:modified>
</cp:coreProperties>
</file>